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ู่มือ" sheetId="1" state="visible" r:id="rId3"/>
    <sheet name="Checklist" sheetId="2" state="visible" r:id="rId4"/>
    <sheet name="สรุปผล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<sst xmlns="http://schemas.openxmlformats.org/spreadsheetml/2006/main" count="433" uniqueCount="320">
  <si>
    <t xml:space="preserve">Haptic Drive — Test Checklist (แผนทดสอบก่อนใช้งานจริง)</t>
  </si>
  <si>
    <t xml:space="preserve">ไฟล์นี้ใช้ไล่ทดสอบว่าแอป Haptic Drive พร้อมใช้งานจริงหรือยัง — ทำงานถูกต้อง ครบถ้วน และปลอดภัยขณะขับรถ</t>
  </si>
  <si>
    <t xml:space="preserve">วิธีใช้งาน</t>
  </si>
  <si>
    <t xml:space="preserve">1. ไปที่แท็บ "Checklist" แล้วไล่ทดสอบทีละข้อ</t>
  </si>
  <si>
    <t xml:space="preserve">2. ทำตามช่อง "ขั้นตอนทดสอบ" → เทียบกับ "ผลที่คาดหวัง"</t>
  </si>
  <si>
    <t xml:space="preserve">3. บันทึก "ผลจริง" ที่เจอ แล้วเลือก "สถานะ" เป็น Pass / Fail / Blocked / รอทดสอบ</t>
  </si>
  <si>
    <t xml:space="preserve">4. ทดสอบทั้ง Android และ iOS — บันทึกในช่อง "อุปกรณ์/OS" ว่าทดสอบบนเครื่องไหน</t>
  </si>
  <si>
    <t xml:space="preserve">5. ดูสรุปผลรวมที่แท็บ "สรุปผล" (นับอัตโนมัติ)</t>
  </si>
  <si>
    <t xml:space="preserve">ระดับความสำคัญ (Priority)</t>
  </si>
  <si>
    <t xml:space="preserve">Critical = ถ้าพังคือเป็นอันตราย/ใช้ไม่ได้เลย ต้องผ่านทุกข้อก่อนปล่อยจริง (เช่น สั่นผิดข้าง)</t>
  </si>
  <si>
    <t xml:space="preserve">High = กระทบการใช้งานหลักมาก ควรแก้ก่อนปล่อย</t>
  </si>
  <si>
    <t xml:space="preserve">Medium = ควรแก้ แต่ไม่บล็อกการปล่อย</t>
  </si>
  <si>
    <t xml:space="preserve">หลักการทดสอบ 4 ระดับที่ checklist นี้ครอบคลุม</t>
  </si>
  <si>
    <t xml:space="preserve">• Functional — แต่ละฟีเจอร์ทำงานถูกตามที่ออกแบบ</t>
  </si>
  <si>
    <t xml:space="preserve">• Logic/Data — เงื่อนไข การคำนวณ vibration profile ถูกต้อง ข้อมูลไม่ตกหล่น</t>
  </si>
  <si>
    <t xml:space="preserve">• Integration/E2E — ทำครบ flow ตั้งแต่สมัคร→จับคู่สาย→นำทางจริง</t>
  </si>
  <si>
    <t xml:space="preserve">• UAT — ให้กลุ่มผู้ใช้จริง (รวมผู้มี learning differences) ลองใช้</t>
  </si>
  <si>
    <t xml:space="preserve">⚠ ความปลอดภัยมาก่อน: การทดสอบที่เกี่ยวกับการขับรถจริง ให้มีคนขับ + คนสังเกตแยกกัน หรือทดสอบในที่ปิด/สนามก่อนออกถนนจริงเสมอ</t>
  </si>
  <si>
    <t xml:space="preserve">ID</t>
  </si>
  <si>
    <t xml:space="preserve">หมวด</t>
  </si>
  <si>
    <t xml:space="preserve">สิ่งที่ทดสอบ</t>
  </si>
  <si>
    <t xml:space="preserve">ขั้นตอนทดสอบ</t>
  </si>
  <si>
    <t xml:space="preserve">ผลที่คาดหวัง</t>
  </si>
  <si>
    <t xml:space="preserve">ความสำคัญ</t>
  </si>
  <si>
    <t xml:space="preserve">ผลจริง</t>
  </si>
  <si>
    <t xml:space="preserve">สถานะ</t>
  </si>
  <si>
    <t xml:space="preserve">อุปกรณ์/OS</t>
  </si>
  <si>
    <t xml:space="preserve">หมายเหตุ</t>
  </si>
  <si>
    <t xml:space="preserve">A. สมัคร &amp; Vibration Profile Quiz</t>
  </si>
  <si>
    <t xml:space="preserve">01</t>
  </si>
  <si>
    <t xml:space="preserve">A</t>
  </si>
  <si>
    <t xml:space="preserve">สมัครสมาชิกใหม่</t>
  </si>
  <si>
    <t xml:space="preserve">สมัครด้วยอีเมล/เบอร์ใหม่ กรอกครบทุกช่อง</t>
  </si>
  <si>
    <t xml:space="preserve">สมัครได้ เข้าสู่ขั้นตอนถัดไป ไม่ค้าง</t>
  </si>
  <si>
    <t xml:space="preserve">High</t>
  </si>
  <si>
    <t xml:space="preserve">02</t>
  </si>
  <si>
    <t xml:space="preserve">กรอกข้อมูลไม่ครบ/ผิดรูปแบบ</t>
  </si>
  <si>
    <t xml:space="preserve">เว้นช่องว่าง, ใส่อีเมลผิดรูปแบบ</t>
  </si>
  <si>
    <t xml:space="preserve">ขึ้นข้อความเตือนชัดเจน ไม่ให้ไปต่อจนกว่าจะแก้</t>
  </si>
  <si>
    <t xml:space="preserve">03</t>
  </si>
  <si>
    <t xml:space="preserve">ตอบ quiz 6 ข้อครบ</t>
  </si>
  <si>
    <t xml:space="preserve">ตอบครบทั้ง 6 ข้อ</t>
  </si>
  <si>
    <t xml:space="preserve">สร้าง vibration profile สำเร็จ และบันทึกไว้</t>
  </si>
  <si>
    <t xml:space="preserve">Critical</t>
  </si>
  <si>
    <t xml:space="preserve">04</t>
  </si>
  <si>
    <t xml:space="preserve">ตอบ quiz ไม่ครบ</t>
  </si>
  <si>
    <t xml:space="preserve">ข้ามบางข้อแล้วกดต่อ</t>
  </si>
  <si>
    <t xml:space="preserve">ไม่ให้ข้าม หรือมีค่า default ที่ชัดเจน ไม่พังเงียบ ๆ</t>
  </si>
  <si>
    <t xml:space="preserve">05</t>
  </si>
  <si>
    <t xml:space="preserve">logic การสร้างโปรไฟล์ถูกต้อง</t>
  </si>
  <si>
    <t xml:space="preserve">ตอบชุดคำตอบที่ต่างกัน 2-3 แบบ</t>
  </si>
  <si>
    <t xml:space="preserve">โปรไฟล์ที่ได้ต่างกันตามคำตอบจริง (ความแรง/จังหวะสั่นต่างกัน) ไม่ใช่ได้ค่าเดียวกันหมด</t>
  </si>
  <si>
    <t xml:space="preserve">06</t>
  </si>
  <si>
    <t xml:space="preserve">โปรไฟล์ถูกบันทึกถาวร</t>
  </si>
  <si>
    <t xml:space="preserve">ปิดแอป-เปิดใหม่ / ออกจากระบบ-เข้าใหม่</t>
  </si>
  <si>
    <t xml:space="preserve">โปรไฟล์เดิมยังอยู่ ไม่ต้องทำ quiz ซ้ำ</t>
  </si>
  <si>
    <t xml:space="preserve">07</t>
  </si>
  <si>
    <t xml:space="preserve">แก้ไข/ทำ quiz ใหม่</t>
  </si>
  <si>
    <t xml:space="preserve">เข้าไปทำ quiz ใหม่</t>
  </si>
  <si>
    <t xml:space="preserve">โปรไฟล์อัปเดตเป็นค่าใหม่ และนำไปใช้จริงทันที</t>
  </si>
  <si>
    <t xml:space="preserve">Medium</t>
  </si>
  <si>
    <t xml:space="preserve">B. จับคู่ Bluetooth สายรัดข้อมือ</t>
  </si>
  <si>
    <t xml:space="preserve">08</t>
  </si>
  <si>
    <t xml:space="preserve">B</t>
  </si>
  <si>
    <t xml:space="preserve">จับคู่สายข้อมือ 2 ข้างครั้งแรก</t>
  </si>
  <si>
    <t xml:space="preserve">เปิด Bluetooth จับคู่สายซ้าย+ขวา</t>
  </si>
  <si>
    <t xml:space="preserve">จับคู่สำเร็จทั้งสองข้าง แอปรู้ว่าข้างไหนซ้าย/ขวา</t>
  </si>
  <si>
    <t xml:space="preserve">09</t>
  </si>
  <si>
    <t xml:space="preserve">ระบุข้างถูกต้อง</t>
  </si>
  <si>
    <t xml:space="preserve">ดูสถานะในแอปว่าข้างไหนคือซ้าย/ขวา</t>
  </si>
  <si>
    <t xml:space="preserve">สายซ้ายแสดงเป็นซ้าย สายขวาแสดงเป็นขวา ไม่สลับ</t>
  </si>
  <si>
    <t xml:space="preserve">10</t>
  </si>
  <si>
    <t xml:space="preserve">เชื่อมต่อใหม่อัตโนมัติ</t>
  </si>
  <si>
    <t xml:space="preserve">ปิด-เปิดสาย หรือออกนอกระยะแล้วกลับมา</t>
  </si>
  <si>
    <t xml:space="preserve">แอปเชื่อมต่อใหม่เองได้ ไม่ต้องจับคู่ใหม่ทุกครั้ง</t>
  </si>
  <si>
    <t xml:space="preserve">11</t>
  </si>
  <si>
    <t xml:space="preserve">สายหลุดกลางทาง</t>
  </si>
  <si>
    <t xml:space="preserve">ปิดสายข้างหนึ่งระหว่างนำทาง</t>
  </si>
  <si>
    <t xml:space="preserve">แอปเตือนทันทีว่าสายหลุด ไม่นำทางต่อแบบเงียบ ๆ</t>
  </si>
  <si>
    <t xml:space="preserve">12</t>
  </si>
  <si>
    <t xml:space="preserve">แบตสายข้อมือต่ำ</t>
  </si>
  <si>
    <t xml:space="preserve">จำลอง/ใช้จนแบตสายต่ำ</t>
  </si>
  <si>
    <t xml:space="preserve">แอปแจ้งเตือนแบตสายต่ำก่อนหมด</t>
  </si>
  <si>
    <t xml:space="preserve">13</t>
  </si>
  <si>
    <t xml:space="preserve">จับคู่เฉพาะข้างเดียว</t>
  </si>
  <si>
    <t xml:space="preserve">จับคู่ได้แค่ข้างเดียว</t>
  </si>
  <si>
    <t xml:space="preserve">แอปเตือนว่ายังไม่ครบ ไม่ยอมเริ่มนำทางจนกว่าจะครบ 2 ข้าง</t>
  </si>
  <si>
    <t xml:space="preserve">14</t>
  </si>
  <si>
    <t xml:space="preserve">ระยะ Bluetooth</t>
  </si>
  <si>
    <t xml:space="preserve">ขยับสายห่างจากมือถือ</t>
  </si>
  <si>
    <t xml:space="preserve">ทำงานได้ในระยะใช้จริง (มือถืออยู่ในรถ สายที่ข้อมือ)</t>
  </si>
  <si>
    <t xml:space="preserve">C. ความถูกต้องของการสั่น (วิกฤตสูงสุด)</t>
  </si>
  <si>
    <t xml:space="preserve">15</t>
  </si>
  <si>
    <t xml:space="preserve">C</t>
  </si>
  <si>
    <t xml:space="preserve">เลี้ยวซ้าย = สายซ้ายสั่น</t>
  </si>
  <si>
    <t xml:space="preserve">จำลองเส้นทางที่ต้องเลี้ยวซ้าย</t>
  </si>
  <si>
    <t xml:space="preserve">เฉพาะสายซ้ายสั่น สายขวาเงียบ</t>
  </si>
  <si>
    <t xml:space="preserve">16</t>
  </si>
  <si>
    <t xml:space="preserve">เลี้ยวขวา = สายขวาสั่น</t>
  </si>
  <si>
    <t xml:space="preserve">จำลองเส้นทางที่ต้องเลี้ยวขวา</t>
  </si>
  <si>
    <t xml:space="preserve">เฉพาะสายขวาสั่น สายซ้ายเงียบ</t>
  </si>
  <si>
    <t xml:space="preserve">17</t>
  </si>
  <si>
    <t xml:space="preserve">ไม่สั่นผิดข้างเด็ดขาด</t>
  </si>
  <si>
    <t xml:space="preserve">ทดสอบเลี้ยวซ้าย-ขวาสลับหลายรอบติดกัน</t>
  </si>
  <si>
    <t xml:space="preserve">ไม่มีครั้งใดสั่นผิดข้างเลย แม้เลี้ยวถี่ ๆ</t>
  </si>
  <si>
    <t xml:space="preserve">18</t>
  </si>
  <si>
    <t xml:space="preserve">ตรงไป/ไม่มีเลี้ยว</t>
  </si>
  <si>
    <t xml:space="preserve">ช่วงทางตรงยาว</t>
  </si>
  <si>
    <t xml:space="preserve">ไม่มีสายไหนสั่นโดยไม่จำเป็น</t>
  </si>
  <si>
    <t xml:space="preserve">19</t>
  </si>
  <si>
    <t xml:space="preserve">สั่นตรงกับจุดเลี้ยวจริง</t>
  </si>
  <si>
    <t xml:space="preserve">เทียบจังหวะสั่นกับตำแหน่งจริงบนแผนที่</t>
  </si>
  <si>
    <t xml:space="preserve">สั่นตรงกับทางแยกที่ถูกต้อง ไม่ใช่แยกก่อน/หลัง</t>
  </si>
  <si>
    <t xml:space="preserve">20</t>
  </si>
  <si>
    <t xml:space="preserve">จุดที่ต้องเลี้ยวสองครั้งติด</t>
  </si>
  <si>
    <t xml:space="preserve">เส้นทางที่มีแยกใกล้กันมาก</t>
  </si>
  <si>
    <t xml:space="preserve">แยกแยะได้ชัด ผู้ใช้ไม่สับสนว่าเป็นแยกไหน</t>
  </si>
  <si>
    <t xml:space="preserve">21</t>
  </si>
  <si>
    <t xml:space="preserve">วงเวียน / ทางที่ซับซ้อน</t>
  </si>
  <si>
    <t xml:space="preserve">เส้นทางมีวงเวียนหรือทางแยกหลายแพร่ง</t>
  </si>
  <si>
    <t xml:space="preserve">รูปแบบการสั่นสื่อสารได้ชัดเจน (ตามที่ออกแบบ)</t>
  </si>
  <si>
    <t xml:space="preserve">D. การปรับความแรง &amp; จังหวะตามโปรไฟล์</t>
  </si>
  <si>
    <t xml:space="preserve">22</t>
  </si>
  <si>
    <t xml:space="preserve">D</t>
  </si>
  <si>
    <t xml:space="preserve">ความแรงสั่นตรงตามโปรไฟล์</t>
  </si>
  <si>
    <t xml:space="preserve">เทียบโปรไฟล์ที่ตั้งแรง vs เบา</t>
  </si>
  <si>
    <t xml:space="preserve">สั่นแรง/เบาต่างกันจริงตามที่ตั้ง</t>
  </si>
  <si>
    <t xml:space="preserve">23</t>
  </si>
  <si>
    <t xml:space="preserve">จังหวะสั่นล่วงหน้า (lead time)</t>
  </si>
  <si>
    <t xml:space="preserve">เทียบโปรไฟล์ที่ตั้งให้เตือนเร็ว vs ช้า</t>
  </si>
  <si>
    <t xml:space="preserve">เตือนก่อนถึงแยกตามเวลาที่ตั้ง พอให้เตรียมตัวทัน</t>
  </si>
  <si>
    <t xml:space="preserve">24</t>
  </si>
  <si>
    <t xml:space="preserve">ปรับโปรไฟล์แล้วมีผลทันที</t>
  </si>
  <si>
    <t xml:space="preserve">เปลี่ยนค่าความแรงระหว่างใช้</t>
  </si>
  <si>
    <t xml:space="preserve">การสั่นเปลี่ยนตามค่าใหม่</t>
  </si>
  <si>
    <t xml:space="preserve">25</t>
  </si>
  <si>
    <t xml:space="preserve">เตือนเร็วพอสำหรับความเร็วสูง</t>
  </si>
  <si>
    <t xml:space="preserve">ทดสอบที่ความเร็วต่างกัน</t>
  </si>
  <si>
    <t xml:space="preserve">ยังเตือนทันแม้ขับเร็ว (ระยะ/เวลาพอเลี้ยว)</t>
  </si>
  <si>
    <t xml:space="preserve">E. การนำทาง &amp; เส้นทาง</t>
  </si>
  <si>
    <t xml:space="preserve">26</t>
  </si>
  <si>
    <t xml:space="preserve">E</t>
  </si>
  <si>
    <t xml:space="preserve">ค้นหาปลายทาง</t>
  </si>
  <si>
    <t xml:space="preserve">พิมพ์/เลือกปลายทาง</t>
  </si>
  <si>
    <t xml:space="preserve">หาเส้นทางได้ ขึ้นเส้นทางถูกต้อง</t>
  </si>
  <si>
    <t xml:space="preserve">27</t>
  </si>
  <si>
    <t xml:space="preserve">เริ่มนำทาง</t>
  </si>
  <si>
    <t xml:space="preserve">กดเริ่มนำทาง</t>
  </si>
  <si>
    <t xml:space="preserve">เริ่มติดตามตำแหน่ง และสั่งสายข้อมือได้</t>
  </si>
  <si>
    <t xml:space="preserve">28</t>
  </si>
  <si>
    <t xml:space="preserve">ออกนอกเส้นทาง</t>
  </si>
  <si>
    <t xml:space="preserve">ขับเลยแยก/ผิดทาง</t>
  </si>
  <si>
    <t xml:space="preserve">คำนวณเส้นทางใหม่ (reroute) และสั่นนำใหม่ถูกต้อง</t>
  </si>
  <si>
    <t xml:space="preserve">29</t>
  </si>
  <si>
    <t xml:space="preserve">GPS อ่อน/หาย</t>
  </si>
  <si>
    <t xml:space="preserve">เข้าอุโมงค์ ที่อับสัญญาณ</t>
  </si>
  <si>
    <t xml:space="preserve">ไม่สั่นมั่ว ๆ และกลับมาทำงานเมื่อ GPS กลับมา</t>
  </si>
  <si>
    <t xml:space="preserve">30</t>
  </si>
  <si>
    <t xml:space="preserve">ถึงปลายทาง</t>
  </si>
  <si>
    <t xml:space="preserve">ขับจนถึงปลายทาง</t>
  </si>
  <si>
    <t xml:space="preserve">แจ้งว่าถึงแล้ว หยุดสั่งสายข้อมือ</t>
  </si>
  <si>
    <t xml:space="preserve">31</t>
  </si>
  <si>
    <t xml:space="preserve">ยกเลิกนำทางกลางทาง</t>
  </si>
  <si>
    <t xml:space="preserve">กดยกเลิก</t>
  </si>
  <si>
    <t xml:space="preserve">หยุดการสั่นทั้งหมดทันที</t>
  </si>
  <si>
    <t xml:space="preserve">F. สิทธิ์การเข้าถึง (Permissions)</t>
  </si>
  <si>
    <t xml:space="preserve">32</t>
  </si>
  <si>
    <t xml:space="preserve">F</t>
  </si>
  <si>
    <t xml:space="preserve">ขอสิทธิ์ตำแหน่ง</t>
  </si>
  <si>
    <t xml:space="preserve">เปิดแอปครั้งแรก</t>
  </si>
  <si>
    <t xml:space="preserve">ขอสิทธิ์ location พร้อมอธิบายเหตุผล</t>
  </si>
  <si>
    <t xml:space="preserve">33</t>
  </si>
  <si>
    <t xml:space="preserve">ปฏิเสธสิทธิ์ตำแหน่ง</t>
  </si>
  <si>
    <t xml:space="preserve">กดไม่อนุญาต location</t>
  </si>
  <si>
    <t xml:space="preserve">แอปอธิบายว่าจำเป็น และนำไปตั้งค่าได้ ไม่แครชเฉย ๆ</t>
  </si>
  <si>
    <t xml:space="preserve">34</t>
  </si>
  <si>
    <t xml:space="preserve">สิทธิ์ Bluetooth</t>
  </si>
  <si>
    <t xml:space="preserve">ครั้งแรกที่จะจับคู่สาย</t>
  </si>
  <si>
    <t xml:space="preserve">ขอสิทธิ์ Bluetooth ถูกต้อง</t>
  </si>
  <si>
    <t xml:space="preserve">35</t>
  </si>
  <si>
    <t xml:space="preserve">location แบบ 'ขณะใช้เท่านั้น'</t>
  </si>
  <si>
    <t xml:space="preserve">ตั้ง location เป็น while-using</t>
  </si>
  <si>
    <t xml:space="preserve">นำทางทำงานได้ขณะแอปเปิด/พื้นหลังตามที่ออกแบบ</t>
  </si>
  <si>
    <t xml:space="preserve">36</t>
  </si>
  <si>
    <t xml:space="preserve">สิทธิ์แจ้งเตือน</t>
  </si>
  <si>
    <t xml:space="preserve">ปฏิเสธ notification</t>
  </si>
  <si>
    <t xml:space="preserve">แอปยังใช้งานหลักได้ (การสั่นไม่พึ่ง notification)</t>
  </si>
  <si>
    <t xml:space="preserve">G. พื้นหลัง &amp; การถูกขัดจังหวะ</t>
  </si>
  <si>
    <t xml:space="preserve">37</t>
  </si>
  <si>
    <t xml:space="preserve">G</t>
  </si>
  <si>
    <t xml:space="preserve">ปิดจอระหว่างนำทาง</t>
  </si>
  <si>
    <t xml:space="preserve">กดปิดจอขณะขับ</t>
  </si>
  <si>
    <t xml:space="preserve">สายข้อมือยังสั่นเตือนได้ถูกต้อง (ทำงานพื้นหลัง)</t>
  </si>
  <si>
    <t xml:space="preserve">38</t>
  </si>
  <si>
    <t xml:space="preserve">สลับไปแอปอื่น</t>
  </si>
  <si>
    <t xml:space="preserve">เปิดแอปอื่นแล้วกลับมา</t>
  </si>
  <si>
    <t xml:space="preserve">นำทางยังต่อเนื่อง ไม่รีเซ็ต</t>
  </si>
  <si>
    <t xml:space="preserve">39</t>
  </si>
  <si>
    <t xml:space="preserve">มีสายโทรเข้า</t>
  </si>
  <si>
    <t xml:space="preserve">รับสายระหว่างนำทาง</t>
  </si>
  <si>
    <t xml:space="preserve">นำทาง/การสั่นทำงานต่อหลังวางสาย</t>
  </si>
  <si>
    <t xml:space="preserve">40</t>
  </si>
  <si>
    <t xml:space="preserve">ระบบฆ่าแอปพื้นหลัง</t>
  </si>
  <si>
    <t xml:space="preserve">ทิ้งไว้นาน / โหมดประหยัดแบต</t>
  </si>
  <si>
    <t xml:space="preserve">แอปยังนำทางต่อ หรือเตือนผู้ใช้ชัดเจนถ้าถูกหยุด</t>
  </si>
  <si>
    <t xml:space="preserve">41</t>
  </si>
  <si>
    <t xml:space="preserve">เล่นเพลง/แผนที่อื่นพร้อมกัน</t>
  </si>
  <si>
    <t xml:space="preserve">เปิดเพลงหรือ Google Maps คู่กัน</t>
  </si>
  <si>
    <t xml:space="preserve">Haptic Drive ยังสั่งสายข้อมือได้ ไม่ขัดกัน</t>
  </si>
  <si>
    <t xml:space="preserve">H. เครือข่าย &amp; ออฟไลน์</t>
  </si>
  <si>
    <t xml:space="preserve">42</t>
  </si>
  <si>
    <t xml:space="preserve">H</t>
  </si>
  <si>
    <t xml:space="preserve">เน็ตช้า</t>
  </si>
  <si>
    <t xml:space="preserve">จำลองเน็ต 3G/อ่อน</t>
  </si>
  <si>
    <t xml:space="preserve">แอปยังหาเส้นทาง/นำทางได้ มี loading ชัด ไม่ค้างตาย</t>
  </si>
  <si>
    <t xml:space="preserve">43</t>
  </si>
  <si>
    <t xml:space="preserve">เน็ตหลุดกลางนำทาง</t>
  </si>
  <si>
    <t xml:space="preserve">ปิดเน็ตระหว่างขับ</t>
  </si>
  <si>
    <t xml:space="preserve">ใช้เส้นทางที่โหลดไว้ต่อได้ หรือเตือนชัดเจน</t>
  </si>
  <si>
    <t xml:space="preserve">44</t>
  </si>
  <si>
    <t xml:space="preserve">สลับ WiFi↔มือถือ</t>
  </si>
  <si>
    <t xml:space="preserve">เปลี่ยนเครือข่ายระหว่างใช้</t>
  </si>
  <si>
    <t xml:space="preserve">ไม่หลุดการนำทาง</t>
  </si>
  <si>
    <t xml:space="preserve">45</t>
  </si>
  <si>
    <t xml:space="preserve">เปิดแอปตอนไม่มีเน็ตเลย</t>
  </si>
  <si>
    <t xml:space="preserve">ออฟไลน์สนิทแล้วเปิดแอป</t>
  </si>
  <si>
    <t xml:space="preserve">แจ้งเตือนชัดเจน ไม่แครช</t>
  </si>
  <si>
    <t xml:space="preserve">I. แบต &amp; ประสิทธิภาพ</t>
  </si>
  <si>
    <t xml:space="preserve">46</t>
  </si>
  <si>
    <t xml:space="preserve">I</t>
  </si>
  <si>
    <t xml:space="preserve">กินแบตขณะนำทาง</t>
  </si>
  <si>
    <t xml:space="preserve">นำทางต่อเนื่อง 30-60 นาที</t>
  </si>
  <si>
    <t xml:space="preserve">กินแบตในระดับยอมรับได้ ไม่ร้อนผิดปกติ</t>
  </si>
  <si>
    <t xml:space="preserve">47</t>
  </si>
  <si>
    <t xml:space="preserve">ใช้นานแล้วยังลื่น</t>
  </si>
  <si>
    <t xml:space="preserve">ใช้ต่อเนื่องนาน ๆ</t>
  </si>
  <si>
    <t xml:space="preserve">ไม่หน่วง ไม่ค้าง (ไม่มี memory leak)</t>
  </si>
  <si>
    <t xml:space="preserve">48</t>
  </si>
  <si>
    <t xml:space="preserve">ความหน่วงการสั่ง</t>
  </si>
  <si>
    <t xml:space="preserve">วัดเวลาตั้งแต่ถึงจุดเลี้ยวจริงถึงสายสั่น</t>
  </si>
  <si>
    <t xml:space="preserve">ดีเลย์ต่ำพอใช้จริง ทันเลี้ยว</t>
  </si>
  <si>
    <t xml:space="preserve">49</t>
  </si>
  <si>
    <t xml:space="preserve">แบตมือถือต่ำ</t>
  </si>
  <si>
    <t xml:space="preserve">ใช้ตอนแบตมือถือใกล้หมด/โหมดประหยัด</t>
  </si>
  <si>
    <t xml:space="preserve">ยังนำทางได้ หรือเตือนว่าโหมดประหยัดอาจกระทบ</t>
  </si>
  <si>
    <t xml:space="preserve">J. รองรับสองระบบ (iOS/Android)</t>
  </si>
  <si>
    <t xml:space="preserve">50</t>
  </si>
  <si>
    <t xml:space="preserve">J</t>
  </si>
  <si>
    <t xml:space="preserve">แสดงผลหลายขนาดจอ</t>
  </si>
  <si>
    <t xml:space="preserve">เปิดบนจอเล็ก-ใหญ่ ทั้ง 2 ระบบ</t>
  </si>
  <si>
    <t xml:space="preserve">ปุ่ม/ข้อความไม่ล้นจอ ไม่ซ้อน</t>
  </si>
  <si>
    <t xml:space="preserve">51</t>
  </si>
  <si>
    <t xml:space="preserve">Bluetooth บน iOS</t>
  </si>
  <si>
    <t xml:space="preserve">จับคู่สาย+สั่งสั่นบน iPhone</t>
  </si>
  <si>
    <t xml:space="preserve">ทำงานเทียบเท่า Android</t>
  </si>
  <si>
    <t xml:space="preserve">52</t>
  </si>
  <si>
    <t xml:space="preserve">Bluetooth บน Android</t>
  </si>
  <si>
    <t xml:space="preserve">จับคู่สาย+สั่งสั่นบน Android</t>
  </si>
  <si>
    <t xml:space="preserve">ทำงานเทียบเท่า iOS</t>
  </si>
  <si>
    <t xml:space="preserve">53</t>
  </si>
  <si>
    <t xml:space="preserve">พื้นหลังบนแต่ละ OS</t>
  </si>
  <si>
    <t xml:space="preserve">ทดสอบการทำงานพื้นหลังทั้ง 2 ระบบ</t>
  </si>
  <si>
    <t xml:space="preserve">สั่นพื้นหลังได้ทั้งคู่ (iOS เข้มเรื่อง background ให้เช็คเป็นพิเศษ)</t>
  </si>
  <si>
    <t xml:space="preserve">54</t>
  </si>
  <si>
    <t xml:space="preserve">เวอร์ชัน OS เก่า-ใหม่</t>
  </si>
  <si>
    <t xml:space="preserve">ทดสอบบน OS เวอร์ชันต่ำสุดที่รองรับ</t>
  </si>
  <si>
    <t xml:space="preserve">ทำงานได้ตามที่ประกาศรองรับ</t>
  </si>
  <si>
    <t xml:space="preserve">K. การเข้าถึงสำหรับผู้มี learning differences</t>
  </si>
  <si>
    <t xml:space="preserve">55</t>
  </si>
  <si>
    <t xml:space="preserve">K</t>
  </si>
  <si>
    <t xml:space="preserve">อ่านง่ายสำหรับ dyslexia</t>
  </si>
  <si>
    <t xml:space="preserve">ตรวจฟอนต์ ขนาด ระยะ คอนทราสต์</t>
  </si>
  <si>
    <t xml:space="preserve">อ่านง่าย ไม่ต้องพึ่งข้อความเยอะขณะขับ</t>
  </si>
  <si>
    <t xml:space="preserve">56</t>
  </si>
  <si>
    <t xml:space="preserve">ไม่พึ่งการอ่าน/ฟังขณะขับ</t>
  </si>
  <si>
    <t xml:space="preserve">ทดสอบนำทางโดยไม่มองจอ/ไม่ฟังเสียง</t>
  </si>
  <si>
    <t xml:space="preserve">พึ่งการสั่นอย่างเดียวก็ไปถึงได้</t>
  </si>
  <si>
    <t xml:space="preserve">57</t>
  </si>
  <si>
    <t xml:space="preserve">ลดภาระสมาธิ (ADHD)</t>
  </si>
  <si>
    <t xml:space="preserve">ดูว่าหน้าจอรก/มีสิ่งรบกวนไหม</t>
  </si>
  <si>
    <t xml:space="preserve">อินเทอร์เฟซเรียบ ไม่รบกวนสมาธิขณะขับ</t>
  </si>
  <si>
    <t xml:space="preserve">58</t>
  </si>
  <si>
    <t xml:space="preserve">รองรับ screen reader</t>
  </si>
  <si>
    <t xml:space="preserve">เปิด TalkBack/VoiceOver</t>
  </si>
  <si>
    <t xml:space="preserve">องค์ประกอบสำคัญอ่านออกเสียงได้</t>
  </si>
  <si>
    <t xml:space="preserve">59</t>
  </si>
  <si>
    <t xml:space="preserve">UAT กับผู้ใช้จริง</t>
  </si>
  <si>
    <t xml:space="preserve">ให้กลุ่มเป้าหมายจริงลองใช้โดยไม่สอน</t>
  </si>
  <si>
    <t xml:space="preserve">ใช้เองได้ เข้าใจการสั่น ไม่งง</t>
  </si>
  <si>
    <t xml:space="preserve">L. ติดตั้ง / อัปเดต / กรณีพิเศษ</t>
  </si>
  <si>
    <t xml:space="preserve">60</t>
  </si>
  <si>
    <t xml:space="preserve">L</t>
  </si>
  <si>
    <t xml:space="preserve">ติดตั้งใหม่สะอาด</t>
  </si>
  <si>
    <t xml:space="preserve">ลงแอปบนเครื่องที่ไม่เคยมี</t>
  </si>
  <si>
    <t xml:space="preserve">ติดตั้งและเปิดใช้ได้ปกติ</t>
  </si>
  <si>
    <t xml:space="preserve">61</t>
  </si>
  <si>
    <t xml:space="preserve">อัปเดตทับเวอร์ชันเก่า</t>
  </si>
  <si>
    <t xml:space="preserve">อัปเดตจากเวอร์ชันก่อน</t>
  </si>
  <si>
    <t xml:space="preserve">ข้อมูล/โปรไฟล์เดิมยังอยู่ ไม่ต้องตั้งใหม่</t>
  </si>
  <si>
    <t xml:space="preserve">62</t>
  </si>
  <si>
    <t xml:space="preserve">ออกจากระบบ-เข้าใหม่</t>
  </si>
  <si>
    <t xml:space="preserve">logout แล้ว login</t>
  </si>
  <si>
    <t xml:space="preserve">ข้อมูลและการจับคู่กลับมาถูกต้อง</t>
  </si>
  <si>
    <t xml:space="preserve">63</t>
  </si>
  <si>
    <t xml:space="preserve">หลายบัญชีในเครื่องเดียว</t>
  </si>
  <si>
    <t xml:space="preserve">สลับผู้ใช้</t>
  </si>
  <si>
    <t xml:space="preserve">โปรไฟล์การสั่นแยกตามบัญชี ไม่ปนกัน</t>
  </si>
  <si>
    <t xml:space="preserve">64</t>
  </si>
  <si>
    <t xml:space="preserve">กดปุ่มรัว ๆ / กดซ้ำ</t>
  </si>
  <si>
    <t xml:space="preserve">กดเริ่ม-ยกเลิกรัว ๆ</t>
  </si>
  <si>
    <t xml:space="preserve">ไม่แครช ไม่ค้าง สถานะถูกต้อง</t>
  </si>
  <si>
    <t xml:space="preserve">สรุปผลการทดสอบ</t>
  </si>
  <si>
    <t xml:space="preserve">จำนวนเคสทดสอบทั้งหมด</t>
  </si>
  <si>
    <t xml:space="preserve">ผ่าน (Pass)</t>
  </si>
  <si>
    <t xml:space="preserve">ไม่ผ่าน (Fail)</t>
  </si>
  <si>
    <t xml:space="preserve">ติดบล็อก (Blocked)</t>
  </si>
  <si>
    <t xml:space="preserve">ยังไม่ทดสอบ</t>
  </si>
  <si>
    <t xml:space="preserve">ความคืบหน้า (%)</t>
  </si>
  <si>
    <t xml:space="preserve">Critical ที่ยังไม่ผ่าน (ต้องเป็น 0 ก่อนปล่อยจริง)</t>
  </si>
  <si>
    <t xml:space="preserve">เกณฑ์พร้อมปล่อย (Go/No-Go): Critical ทุกข้อต้อง Pass + ไม่มี Fail ค้างในฟีเจอร์หลัก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</si>
</sst>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2E7D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2E7D8A"/>
        <bgColor rgb="FF008080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F2F7F8"/>
      </patternFill>
    </fill>
    <fill>
      <patternFill patternType="solid">
        <fgColor rgb="FFF2F7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8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2E7D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8.65" hidden="false" customHeight="false" outlineLevel="0" collapsed="false">
      <c r="A1" s="1" t="s">
        <v>0</v>
      </c>
    </row>
    <row r="3" customFormat="false" ht="14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2.65" hidden="false" customHeight="false" outlineLevel="0" collapsed="false">
      <c r="A6" s="4" t="s">
        <v>3</v>
      </c>
    </row>
    <row r="7" customFormat="false" ht="12.65" hidden="false" customHeight="false" outlineLevel="0" collapsed="false">
      <c r="A7" s="4" t="s">
        <v>4</v>
      </c>
    </row>
    <row r="8" customFormat="false" ht="12.65" hidden="false" customHeight="false" outlineLevel="0" collapsed="false">
      <c r="A8" s="4" t="s">
        <v>5</v>
      </c>
    </row>
    <row r="9" customFormat="false" ht="12.65" hidden="false" customHeight="false" outlineLevel="0" collapsed="false">
      <c r="A9" s="4" t="s">
        <v>6</v>
      </c>
    </row>
    <row r="10" customFormat="false" ht="12.6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/>
    </row>
    <row r="12" customFormat="false" ht="14.15" hidden="false" customHeight="false" outlineLevel="0" collapsed="false">
      <c r="A12" s="3" t="s">
        <v>8</v>
      </c>
    </row>
    <row r="13" customFormat="false" ht="12.65" hidden="false" customHeight="false" outlineLevel="0" collapsed="false">
      <c r="A13" s="4" t="s">
        <v>9</v>
      </c>
    </row>
    <row r="14" customFormat="false" ht="12.65" hidden="false" customHeight="false" outlineLevel="0" collapsed="false">
      <c r="A14" s="4" t="s">
        <v>10</v>
      </c>
    </row>
    <row r="15" customFormat="false" ht="12.6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/>
    </row>
    <row r="17" customFormat="false" ht="14.15" hidden="false" customHeight="false" outlineLevel="0" collapsed="false">
      <c r="A17" s="3" t="s">
        <v>12</v>
      </c>
    </row>
    <row r="18" customFormat="false" ht="12.65" hidden="false" customHeight="false" outlineLevel="0" collapsed="false">
      <c r="A18" s="4" t="s">
        <v>13</v>
      </c>
    </row>
    <row r="19" customFormat="false" ht="12.65" hidden="false" customHeight="false" outlineLevel="0" collapsed="false">
      <c r="A19" s="4" t="s">
        <v>14</v>
      </c>
    </row>
    <row r="20" customFormat="false" ht="12.65" hidden="false" customHeight="false" outlineLevel="0" collapsed="false">
      <c r="A20" s="4" t="s">
        <v>15</v>
      </c>
    </row>
    <row r="21" customFormat="false" ht="12.6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/>
    </row>
    <row r="23" customFormat="false" ht="12.65" hidden="false" customHeight="false" outlineLevel="0" collapsed="false">
      <c r="A2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46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</row>
    <row r="2" customFormat="false" ht="21.75" hidden="false" customHeight="true" outlineLevel="0" collapsed="false">
      <c r="A2" s="6" t="s">
        <v>28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42" hidden="false" customHeight="true" outlineLevel="0" collapsed="false">
      <c r="A3" s="7" t="s">
        <v>29</v>
      </c>
      <c r="B3" s="7" t="s">
        <v>30</v>
      </c>
      <c r="C3" s="8" t="s">
        <v>31</v>
      </c>
      <c r="D3" s="8" t="s">
        <v>32</v>
      </c>
      <c r="E3" s="8" t="s">
        <v>33</v>
      </c>
      <c r="F3" s="9" t="s">
        <v>34</v>
      </c>
      <c r="G3" s="8"/>
      <c r="H3" s="7"/>
      <c r="I3" s="7"/>
      <c r="J3" s="8"/>
    </row>
    <row r="4" customFormat="false" ht="42" hidden="false" customHeight="true" outlineLevel="0" collapsed="false">
      <c r="A4" s="7" t="s">
        <v>35</v>
      </c>
      <c r="B4" s="7" t="s">
        <v>30</v>
      </c>
      <c r="C4" s="8" t="s">
        <v>36</v>
      </c>
      <c r="D4" s="8" t="s">
        <v>37</v>
      </c>
      <c r="E4" s="8" t="s">
        <v>38</v>
      </c>
      <c r="F4" s="9" t="s">
        <v>34</v>
      </c>
      <c r="G4" s="8"/>
      <c r="H4" s="7"/>
      <c r="I4" s="7"/>
      <c r="J4" s="8"/>
    </row>
    <row r="5" customFormat="false" ht="42" hidden="false" customHeight="true" outlineLevel="0" collapsed="false">
      <c r="A5" s="7" t="s">
        <v>39</v>
      </c>
      <c r="B5" s="7" t="s">
        <v>30</v>
      </c>
      <c r="C5" s="8" t="s">
        <v>40</v>
      </c>
      <c r="D5" s="8" t="s">
        <v>41</v>
      </c>
      <c r="E5" s="8" t="s">
        <v>42</v>
      </c>
      <c r="F5" s="10" t="s">
        <v>43</v>
      </c>
      <c r="G5" s="8"/>
      <c r="H5" s="7"/>
      <c r="I5" s="7"/>
      <c r="J5" s="8"/>
    </row>
    <row r="6" customFormat="false" ht="42" hidden="false" customHeight="true" outlineLevel="0" collapsed="false">
      <c r="A6" s="7" t="s">
        <v>44</v>
      </c>
      <c r="B6" s="7" t="s">
        <v>30</v>
      </c>
      <c r="C6" s="8" t="s">
        <v>45</v>
      </c>
      <c r="D6" s="8" t="s">
        <v>46</v>
      </c>
      <c r="E6" s="8" t="s">
        <v>47</v>
      </c>
      <c r="F6" s="9" t="s">
        <v>34</v>
      </c>
      <c r="G6" s="8"/>
      <c r="H6" s="7"/>
      <c r="I6" s="7"/>
      <c r="J6" s="8"/>
    </row>
    <row r="7" customFormat="false" ht="42" hidden="false" customHeight="true" outlineLevel="0" collapsed="false">
      <c r="A7" s="7" t="s">
        <v>48</v>
      </c>
      <c r="B7" s="7" t="s">
        <v>30</v>
      </c>
      <c r="C7" s="8" t="s">
        <v>49</v>
      </c>
      <c r="D7" s="8" t="s">
        <v>50</v>
      </c>
      <c r="E7" s="8" t="s">
        <v>51</v>
      </c>
      <c r="F7" s="10" t="s">
        <v>43</v>
      </c>
      <c r="G7" s="8"/>
      <c r="H7" s="7"/>
      <c r="I7" s="7"/>
      <c r="J7" s="8"/>
    </row>
    <row r="8" customFormat="false" ht="42" hidden="false" customHeight="true" outlineLevel="0" collapsed="false">
      <c r="A8" s="7" t="s">
        <v>52</v>
      </c>
      <c r="B8" s="7" t="s">
        <v>30</v>
      </c>
      <c r="C8" s="8" t="s">
        <v>53</v>
      </c>
      <c r="D8" s="8" t="s">
        <v>54</v>
      </c>
      <c r="E8" s="8" t="s">
        <v>55</v>
      </c>
      <c r="F8" s="9" t="s">
        <v>34</v>
      </c>
      <c r="G8" s="8"/>
      <c r="H8" s="7"/>
      <c r="I8" s="7"/>
      <c r="J8" s="8"/>
    </row>
    <row r="9" customFormat="false" ht="42" hidden="false" customHeight="true" outlineLevel="0" collapsed="false">
      <c r="A9" s="7" t="s">
        <v>56</v>
      </c>
      <c r="B9" s="7" t="s">
        <v>30</v>
      </c>
      <c r="C9" s="8" t="s">
        <v>57</v>
      </c>
      <c r="D9" s="8" t="s">
        <v>58</v>
      </c>
      <c r="E9" s="8" t="s">
        <v>59</v>
      </c>
      <c r="F9" s="11" t="s">
        <v>60</v>
      </c>
      <c r="G9" s="8"/>
      <c r="H9" s="7"/>
      <c r="I9" s="7"/>
      <c r="J9" s="8"/>
    </row>
    <row r="10" customFormat="false" ht="21.75" hidden="false" customHeight="true" outlineLevel="0" collapsed="false">
      <c r="A10" s="6" t="s">
        <v>61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42" hidden="false" customHeight="true" outlineLevel="0" collapsed="false">
      <c r="A11" s="7" t="s">
        <v>62</v>
      </c>
      <c r="B11" s="7" t="s">
        <v>63</v>
      </c>
      <c r="C11" s="8" t="s">
        <v>64</v>
      </c>
      <c r="D11" s="8" t="s">
        <v>65</v>
      </c>
      <c r="E11" s="8" t="s">
        <v>66</v>
      </c>
      <c r="F11" s="10" t="s">
        <v>43</v>
      </c>
      <c r="G11" s="8"/>
      <c r="H11" s="7"/>
      <c r="I11" s="7"/>
      <c r="J11" s="8"/>
    </row>
    <row r="12" customFormat="false" ht="42" hidden="false" customHeight="true" outlineLevel="0" collapsed="false">
      <c r="A12" s="7" t="s">
        <v>67</v>
      </c>
      <c r="B12" s="7" t="s">
        <v>63</v>
      </c>
      <c r="C12" s="8" t="s">
        <v>68</v>
      </c>
      <c r="D12" s="8" t="s">
        <v>69</v>
      </c>
      <c r="E12" s="8" t="s">
        <v>70</v>
      </c>
      <c r="F12" s="10" t="s">
        <v>43</v>
      </c>
      <c r="G12" s="8"/>
      <c r="H12" s="7"/>
      <c r="I12" s="7"/>
      <c r="J12" s="8"/>
    </row>
    <row r="13" customFormat="false" ht="42" hidden="false" customHeight="true" outlineLevel="0" collapsed="false">
      <c r="A13" s="7" t="s">
        <v>71</v>
      </c>
      <c r="B13" s="7" t="s">
        <v>63</v>
      </c>
      <c r="C13" s="8" t="s">
        <v>72</v>
      </c>
      <c r="D13" s="8" t="s">
        <v>73</v>
      </c>
      <c r="E13" s="8" t="s">
        <v>74</v>
      </c>
      <c r="F13" s="9" t="s">
        <v>34</v>
      </c>
      <c r="G13" s="8"/>
      <c r="H13" s="7"/>
      <c r="I13" s="7"/>
      <c r="J13" s="8"/>
    </row>
    <row r="14" customFormat="false" ht="42" hidden="false" customHeight="true" outlineLevel="0" collapsed="false">
      <c r="A14" s="7" t="s">
        <v>75</v>
      </c>
      <c r="B14" s="7" t="s">
        <v>63</v>
      </c>
      <c r="C14" s="8" t="s">
        <v>76</v>
      </c>
      <c r="D14" s="8" t="s">
        <v>77</v>
      </c>
      <c r="E14" s="8" t="s">
        <v>78</v>
      </c>
      <c r="F14" s="10" t="s">
        <v>43</v>
      </c>
      <c r="G14" s="8"/>
      <c r="H14" s="7"/>
      <c r="I14" s="7"/>
      <c r="J14" s="8"/>
    </row>
    <row r="15" customFormat="false" ht="42" hidden="false" customHeight="true" outlineLevel="0" collapsed="false">
      <c r="A15" s="7" t="s">
        <v>79</v>
      </c>
      <c r="B15" s="7" t="s">
        <v>63</v>
      </c>
      <c r="C15" s="8" t="s">
        <v>80</v>
      </c>
      <c r="D15" s="8" t="s">
        <v>81</v>
      </c>
      <c r="E15" s="8" t="s">
        <v>82</v>
      </c>
      <c r="F15" s="9" t="s">
        <v>34</v>
      </c>
      <c r="G15" s="8"/>
      <c r="H15" s="7"/>
      <c r="I15" s="7"/>
      <c r="J15" s="8"/>
    </row>
    <row r="16" customFormat="false" ht="42" hidden="false" customHeight="true" outlineLevel="0" collapsed="false">
      <c r="A16" s="7" t="s">
        <v>83</v>
      </c>
      <c r="B16" s="7" t="s">
        <v>63</v>
      </c>
      <c r="C16" s="8" t="s">
        <v>84</v>
      </c>
      <c r="D16" s="8" t="s">
        <v>85</v>
      </c>
      <c r="E16" s="8" t="s">
        <v>86</v>
      </c>
      <c r="F16" s="10" t="s">
        <v>43</v>
      </c>
      <c r="G16" s="8"/>
      <c r="H16" s="7"/>
      <c r="I16" s="7"/>
      <c r="J16" s="8"/>
    </row>
    <row r="17" customFormat="false" ht="42" hidden="false" customHeight="true" outlineLevel="0" collapsed="false">
      <c r="A17" s="7" t="s">
        <v>87</v>
      </c>
      <c r="B17" s="7" t="s">
        <v>63</v>
      </c>
      <c r="C17" s="8" t="s">
        <v>88</v>
      </c>
      <c r="D17" s="8" t="s">
        <v>89</v>
      </c>
      <c r="E17" s="8" t="s">
        <v>90</v>
      </c>
      <c r="F17" s="9" t="s">
        <v>34</v>
      </c>
      <c r="G17" s="8"/>
      <c r="H17" s="7"/>
      <c r="I17" s="7"/>
      <c r="J17" s="8"/>
    </row>
    <row r="18" customFormat="false" ht="21.75" hidden="false" customHeight="true" outlineLevel="0" collapsed="false">
      <c r="A18" s="6" t="s">
        <v>91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42" hidden="false" customHeight="true" outlineLevel="0" collapsed="false">
      <c r="A19" s="7" t="s">
        <v>92</v>
      </c>
      <c r="B19" s="7" t="s">
        <v>93</v>
      </c>
      <c r="C19" s="8" t="s">
        <v>94</v>
      </c>
      <c r="D19" s="8" t="s">
        <v>95</v>
      </c>
      <c r="E19" s="8" t="s">
        <v>96</v>
      </c>
      <c r="F19" s="10" t="s">
        <v>43</v>
      </c>
      <c r="G19" s="8"/>
      <c r="H19" s="7"/>
      <c r="I19" s="7"/>
      <c r="J19" s="8"/>
    </row>
    <row r="20" customFormat="false" ht="42" hidden="false" customHeight="true" outlineLevel="0" collapsed="false">
      <c r="A20" s="7" t="s">
        <v>97</v>
      </c>
      <c r="B20" s="7" t="s">
        <v>93</v>
      </c>
      <c r="C20" s="8" t="s">
        <v>98</v>
      </c>
      <c r="D20" s="8" t="s">
        <v>99</v>
      </c>
      <c r="E20" s="8" t="s">
        <v>100</v>
      </c>
      <c r="F20" s="10" t="s">
        <v>43</v>
      </c>
      <c r="G20" s="8"/>
      <c r="H20" s="7"/>
      <c r="I20" s="7"/>
      <c r="J20" s="8"/>
    </row>
    <row r="21" customFormat="false" ht="42" hidden="false" customHeight="true" outlineLevel="0" collapsed="false">
      <c r="A21" s="7" t="s">
        <v>101</v>
      </c>
      <c r="B21" s="7" t="s">
        <v>93</v>
      </c>
      <c r="C21" s="8" t="s">
        <v>102</v>
      </c>
      <c r="D21" s="8" t="s">
        <v>103</v>
      </c>
      <c r="E21" s="8" t="s">
        <v>104</v>
      </c>
      <c r="F21" s="10" t="s">
        <v>43</v>
      </c>
      <c r="G21" s="8"/>
      <c r="H21" s="7"/>
      <c r="I21" s="7"/>
      <c r="J21" s="8"/>
    </row>
    <row r="22" customFormat="false" ht="42" hidden="false" customHeight="true" outlineLevel="0" collapsed="false">
      <c r="A22" s="7" t="s">
        <v>105</v>
      </c>
      <c r="B22" s="7" t="s">
        <v>93</v>
      </c>
      <c r="C22" s="8" t="s">
        <v>106</v>
      </c>
      <c r="D22" s="8" t="s">
        <v>107</v>
      </c>
      <c r="E22" s="8" t="s">
        <v>108</v>
      </c>
      <c r="F22" s="9" t="s">
        <v>34</v>
      </c>
      <c r="G22" s="8"/>
      <c r="H22" s="7"/>
      <c r="I22" s="7"/>
      <c r="J22" s="8"/>
    </row>
    <row r="23" customFormat="false" ht="42" hidden="false" customHeight="true" outlineLevel="0" collapsed="false">
      <c r="A23" s="7" t="s">
        <v>109</v>
      </c>
      <c r="B23" s="7" t="s">
        <v>93</v>
      </c>
      <c r="C23" s="8" t="s">
        <v>110</v>
      </c>
      <c r="D23" s="8" t="s">
        <v>111</v>
      </c>
      <c r="E23" s="8" t="s">
        <v>112</v>
      </c>
      <c r="F23" s="10" t="s">
        <v>43</v>
      </c>
      <c r="G23" s="8"/>
      <c r="H23" s="7"/>
      <c r="I23" s="7"/>
      <c r="J23" s="8"/>
    </row>
    <row r="24" customFormat="false" ht="42" hidden="false" customHeight="true" outlineLevel="0" collapsed="false">
      <c r="A24" s="7" t="s">
        <v>113</v>
      </c>
      <c r="B24" s="7" t="s">
        <v>93</v>
      </c>
      <c r="C24" s="8" t="s">
        <v>114</v>
      </c>
      <c r="D24" s="8" t="s">
        <v>115</v>
      </c>
      <c r="E24" s="8" t="s">
        <v>116</v>
      </c>
      <c r="F24" s="9" t="s">
        <v>34</v>
      </c>
      <c r="G24" s="8"/>
      <c r="H24" s="7"/>
      <c r="I24" s="7"/>
      <c r="J24" s="8"/>
    </row>
    <row r="25" customFormat="false" ht="42" hidden="false" customHeight="true" outlineLevel="0" collapsed="false">
      <c r="A25" s="7" t="s">
        <v>117</v>
      </c>
      <c r="B25" s="7" t="s">
        <v>93</v>
      </c>
      <c r="C25" s="8" t="s">
        <v>118</v>
      </c>
      <c r="D25" s="8" t="s">
        <v>119</v>
      </c>
      <c r="E25" s="8" t="s">
        <v>120</v>
      </c>
      <c r="F25" s="9" t="s">
        <v>34</v>
      </c>
      <c r="G25" s="8"/>
      <c r="H25" s="7"/>
      <c r="I25" s="7"/>
      <c r="J25" s="8"/>
    </row>
    <row r="26" customFormat="false" ht="21.75" hidden="false" customHeight="true" outlineLevel="0" collapsed="false">
      <c r="A26" s="6" t="s">
        <v>121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42" hidden="false" customHeight="true" outlineLevel="0" collapsed="false">
      <c r="A27" s="7" t="s">
        <v>122</v>
      </c>
      <c r="B27" s="7" t="s">
        <v>123</v>
      </c>
      <c r="C27" s="8" t="s">
        <v>124</v>
      </c>
      <c r="D27" s="8" t="s">
        <v>125</v>
      </c>
      <c r="E27" s="8" t="s">
        <v>126</v>
      </c>
      <c r="F27" s="9" t="s">
        <v>34</v>
      </c>
      <c r="G27" s="8"/>
      <c r="H27" s="7"/>
      <c r="I27" s="7"/>
      <c r="J27" s="8"/>
    </row>
    <row r="28" customFormat="false" ht="42" hidden="false" customHeight="true" outlineLevel="0" collapsed="false">
      <c r="A28" s="7" t="s">
        <v>127</v>
      </c>
      <c r="B28" s="7" t="s">
        <v>123</v>
      </c>
      <c r="C28" s="8" t="s">
        <v>128</v>
      </c>
      <c r="D28" s="8" t="s">
        <v>129</v>
      </c>
      <c r="E28" s="8" t="s">
        <v>130</v>
      </c>
      <c r="F28" s="10" t="s">
        <v>43</v>
      </c>
      <c r="G28" s="8"/>
      <c r="H28" s="7"/>
      <c r="I28" s="7"/>
      <c r="J28" s="8"/>
    </row>
    <row r="29" customFormat="false" ht="42" hidden="false" customHeight="true" outlineLevel="0" collapsed="false">
      <c r="A29" s="7" t="s">
        <v>131</v>
      </c>
      <c r="B29" s="7" t="s">
        <v>123</v>
      </c>
      <c r="C29" s="8" t="s">
        <v>132</v>
      </c>
      <c r="D29" s="8" t="s">
        <v>133</v>
      </c>
      <c r="E29" s="8" t="s">
        <v>134</v>
      </c>
      <c r="F29" s="11" t="s">
        <v>60</v>
      </c>
      <c r="G29" s="8"/>
      <c r="H29" s="7"/>
      <c r="I29" s="7"/>
      <c r="J29" s="8"/>
    </row>
    <row r="30" customFormat="false" ht="42" hidden="false" customHeight="true" outlineLevel="0" collapsed="false">
      <c r="A30" s="7" t="s">
        <v>135</v>
      </c>
      <c r="B30" s="7" t="s">
        <v>123</v>
      </c>
      <c r="C30" s="8" t="s">
        <v>136</v>
      </c>
      <c r="D30" s="8" t="s">
        <v>137</v>
      </c>
      <c r="E30" s="8" t="s">
        <v>138</v>
      </c>
      <c r="F30" s="9" t="s">
        <v>34</v>
      </c>
      <c r="G30" s="8"/>
      <c r="H30" s="7"/>
      <c r="I30" s="7"/>
      <c r="J30" s="8"/>
    </row>
    <row r="31" customFormat="false" ht="21.75" hidden="false" customHeight="true" outlineLevel="0" collapsed="false">
      <c r="A31" s="6" t="s">
        <v>139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42" hidden="false" customHeight="true" outlineLevel="0" collapsed="false">
      <c r="A32" s="7" t="s">
        <v>140</v>
      </c>
      <c r="B32" s="7" t="s">
        <v>141</v>
      </c>
      <c r="C32" s="8" t="s">
        <v>142</v>
      </c>
      <c r="D32" s="8" t="s">
        <v>143</v>
      </c>
      <c r="E32" s="8" t="s">
        <v>144</v>
      </c>
      <c r="F32" s="9" t="s">
        <v>34</v>
      </c>
      <c r="G32" s="8"/>
      <c r="H32" s="7"/>
      <c r="I32" s="7"/>
      <c r="J32" s="8"/>
    </row>
    <row r="33" customFormat="false" ht="42" hidden="false" customHeight="true" outlineLevel="0" collapsed="false">
      <c r="A33" s="7" t="s">
        <v>145</v>
      </c>
      <c r="B33" s="7" t="s">
        <v>141</v>
      </c>
      <c r="C33" s="8" t="s">
        <v>146</v>
      </c>
      <c r="D33" s="8" t="s">
        <v>147</v>
      </c>
      <c r="E33" s="8" t="s">
        <v>148</v>
      </c>
      <c r="F33" s="10" t="s">
        <v>43</v>
      </c>
      <c r="G33" s="8"/>
      <c r="H33" s="7"/>
      <c r="I33" s="7"/>
      <c r="J33" s="8"/>
    </row>
    <row r="34" customFormat="false" ht="42" hidden="false" customHeight="true" outlineLevel="0" collapsed="false">
      <c r="A34" s="7" t="s">
        <v>149</v>
      </c>
      <c r="B34" s="7" t="s">
        <v>141</v>
      </c>
      <c r="C34" s="8" t="s">
        <v>150</v>
      </c>
      <c r="D34" s="8" t="s">
        <v>151</v>
      </c>
      <c r="E34" s="8" t="s">
        <v>152</v>
      </c>
      <c r="F34" s="10" t="s">
        <v>43</v>
      </c>
      <c r="G34" s="8"/>
      <c r="H34" s="7"/>
      <c r="I34" s="7"/>
      <c r="J34" s="8"/>
    </row>
    <row r="35" customFormat="false" ht="42" hidden="false" customHeight="true" outlineLevel="0" collapsed="false">
      <c r="A35" s="7" t="s">
        <v>153</v>
      </c>
      <c r="B35" s="7" t="s">
        <v>141</v>
      </c>
      <c r="C35" s="8" t="s">
        <v>154</v>
      </c>
      <c r="D35" s="8" t="s">
        <v>155</v>
      </c>
      <c r="E35" s="8" t="s">
        <v>156</v>
      </c>
      <c r="F35" s="9" t="s">
        <v>34</v>
      </c>
      <c r="G35" s="8"/>
      <c r="H35" s="7"/>
      <c r="I35" s="7"/>
      <c r="J35" s="8"/>
    </row>
    <row r="36" customFormat="false" ht="42" hidden="false" customHeight="true" outlineLevel="0" collapsed="false">
      <c r="A36" s="7" t="s">
        <v>157</v>
      </c>
      <c r="B36" s="7" t="s">
        <v>141</v>
      </c>
      <c r="C36" s="8" t="s">
        <v>158</v>
      </c>
      <c r="D36" s="8" t="s">
        <v>159</v>
      </c>
      <c r="E36" s="8" t="s">
        <v>160</v>
      </c>
      <c r="F36" s="9" t="s">
        <v>34</v>
      </c>
      <c r="G36" s="8"/>
      <c r="H36" s="7"/>
      <c r="I36" s="7"/>
      <c r="J36" s="8"/>
    </row>
    <row r="37" customFormat="false" ht="42" hidden="false" customHeight="true" outlineLevel="0" collapsed="false">
      <c r="A37" s="7" t="s">
        <v>161</v>
      </c>
      <c r="B37" s="7" t="s">
        <v>141</v>
      </c>
      <c r="C37" s="8" t="s">
        <v>162</v>
      </c>
      <c r="D37" s="8" t="s">
        <v>163</v>
      </c>
      <c r="E37" s="8" t="s">
        <v>164</v>
      </c>
      <c r="F37" s="9" t="s">
        <v>34</v>
      </c>
      <c r="G37" s="8"/>
      <c r="H37" s="7"/>
      <c r="I37" s="7"/>
      <c r="J37" s="8"/>
    </row>
    <row r="38" customFormat="false" ht="21.75" hidden="false" customHeight="true" outlineLevel="0" collapsed="false">
      <c r="A38" s="6" t="s">
        <v>165</v>
      </c>
      <c r="B38" s="6"/>
      <c r="C38" s="6"/>
      <c r="D38" s="6"/>
      <c r="E38" s="6"/>
      <c r="F38" s="6"/>
      <c r="G38" s="6"/>
      <c r="H38" s="6"/>
      <c r="I38" s="6"/>
      <c r="J38" s="6"/>
    </row>
    <row r="39" customFormat="false" ht="42" hidden="false" customHeight="true" outlineLevel="0" collapsed="false">
      <c r="A39" s="7" t="s">
        <v>166</v>
      </c>
      <c r="B39" s="7" t="s">
        <v>167</v>
      </c>
      <c r="C39" s="8" t="s">
        <v>168</v>
      </c>
      <c r="D39" s="8" t="s">
        <v>169</v>
      </c>
      <c r="E39" s="8" t="s">
        <v>170</v>
      </c>
      <c r="F39" s="9" t="s">
        <v>34</v>
      </c>
      <c r="G39" s="8"/>
      <c r="H39" s="7"/>
      <c r="I39" s="7"/>
      <c r="J39" s="8"/>
    </row>
    <row r="40" customFormat="false" ht="42" hidden="false" customHeight="true" outlineLevel="0" collapsed="false">
      <c r="A40" s="7" t="s">
        <v>171</v>
      </c>
      <c r="B40" s="7" t="s">
        <v>167</v>
      </c>
      <c r="C40" s="8" t="s">
        <v>172</v>
      </c>
      <c r="D40" s="8" t="s">
        <v>173</v>
      </c>
      <c r="E40" s="8" t="s">
        <v>174</v>
      </c>
      <c r="F40" s="10" t="s">
        <v>43</v>
      </c>
      <c r="G40" s="8"/>
      <c r="H40" s="7"/>
      <c r="I40" s="7"/>
      <c r="J40" s="8"/>
    </row>
    <row r="41" customFormat="false" ht="42" hidden="false" customHeight="true" outlineLevel="0" collapsed="false">
      <c r="A41" s="7" t="s">
        <v>175</v>
      </c>
      <c r="B41" s="7" t="s">
        <v>167</v>
      </c>
      <c r="C41" s="8" t="s">
        <v>176</v>
      </c>
      <c r="D41" s="8" t="s">
        <v>177</v>
      </c>
      <c r="E41" s="8" t="s">
        <v>178</v>
      </c>
      <c r="F41" s="9" t="s">
        <v>34</v>
      </c>
      <c r="G41" s="8"/>
      <c r="H41" s="7"/>
      <c r="I41" s="7"/>
      <c r="J41" s="8"/>
    </row>
    <row r="42" customFormat="false" ht="42" hidden="false" customHeight="true" outlineLevel="0" collapsed="false">
      <c r="A42" s="7" t="s">
        <v>179</v>
      </c>
      <c r="B42" s="7" t="s">
        <v>167</v>
      </c>
      <c r="C42" s="8" t="s">
        <v>180</v>
      </c>
      <c r="D42" s="8" t="s">
        <v>181</v>
      </c>
      <c r="E42" s="8" t="s">
        <v>182</v>
      </c>
      <c r="F42" s="9" t="s">
        <v>34</v>
      </c>
      <c r="G42" s="8"/>
      <c r="H42" s="7"/>
      <c r="I42" s="7"/>
      <c r="J42" s="8"/>
    </row>
    <row r="43" customFormat="false" ht="42" hidden="false" customHeight="true" outlineLevel="0" collapsed="false">
      <c r="A43" s="7" t="s">
        <v>183</v>
      </c>
      <c r="B43" s="7" t="s">
        <v>167</v>
      </c>
      <c r="C43" s="8" t="s">
        <v>184</v>
      </c>
      <c r="D43" s="8" t="s">
        <v>185</v>
      </c>
      <c r="E43" s="8" t="s">
        <v>186</v>
      </c>
      <c r="F43" s="11" t="s">
        <v>60</v>
      </c>
      <c r="G43" s="8"/>
      <c r="H43" s="7"/>
      <c r="I43" s="7"/>
      <c r="J43" s="8"/>
    </row>
    <row r="44" customFormat="false" ht="21.75" hidden="false" customHeight="true" outlineLevel="0" collapsed="false">
      <c r="A44" s="6" t="s">
        <v>187</v>
      </c>
      <c r="B44" s="6"/>
      <c r="C44" s="6"/>
      <c r="D44" s="6"/>
      <c r="E44" s="6"/>
      <c r="F44" s="6"/>
      <c r="G44" s="6"/>
      <c r="H44" s="6"/>
      <c r="I44" s="6"/>
      <c r="J44" s="6"/>
    </row>
    <row r="45" customFormat="false" ht="42" hidden="false" customHeight="true" outlineLevel="0" collapsed="false">
      <c r="A45" s="7" t="s">
        <v>188</v>
      </c>
      <c r="B45" s="7" t="s">
        <v>189</v>
      </c>
      <c r="C45" s="8" t="s">
        <v>190</v>
      </c>
      <c r="D45" s="8" t="s">
        <v>191</v>
      </c>
      <c r="E45" s="8" t="s">
        <v>192</v>
      </c>
      <c r="F45" s="10" t="s">
        <v>43</v>
      </c>
      <c r="G45" s="8"/>
      <c r="H45" s="7"/>
      <c r="I45" s="7"/>
      <c r="J45" s="8"/>
    </row>
    <row r="46" customFormat="false" ht="42" hidden="false" customHeight="true" outlineLevel="0" collapsed="false">
      <c r="A46" s="7" t="s">
        <v>193</v>
      </c>
      <c r="B46" s="7" t="s">
        <v>189</v>
      </c>
      <c r="C46" s="8" t="s">
        <v>194</v>
      </c>
      <c r="D46" s="8" t="s">
        <v>195</v>
      </c>
      <c r="E46" s="8" t="s">
        <v>196</v>
      </c>
      <c r="F46" s="9" t="s">
        <v>34</v>
      </c>
      <c r="G46" s="8"/>
      <c r="H46" s="7"/>
      <c r="I46" s="7"/>
      <c r="J46" s="8"/>
    </row>
    <row r="47" customFormat="false" ht="42" hidden="false" customHeight="true" outlineLevel="0" collapsed="false">
      <c r="A47" s="7" t="s">
        <v>197</v>
      </c>
      <c r="B47" s="7" t="s">
        <v>189</v>
      </c>
      <c r="C47" s="8" t="s">
        <v>198</v>
      </c>
      <c r="D47" s="8" t="s">
        <v>199</v>
      </c>
      <c r="E47" s="8" t="s">
        <v>200</v>
      </c>
      <c r="F47" s="9" t="s">
        <v>34</v>
      </c>
      <c r="G47" s="8"/>
      <c r="H47" s="7"/>
      <c r="I47" s="7"/>
      <c r="J47" s="8"/>
    </row>
    <row r="48" customFormat="false" ht="42" hidden="false" customHeight="true" outlineLevel="0" collapsed="false">
      <c r="A48" s="7" t="s">
        <v>201</v>
      </c>
      <c r="B48" s="7" t="s">
        <v>189</v>
      </c>
      <c r="C48" s="8" t="s">
        <v>202</v>
      </c>
      <c r="D48" s="8" t="s">
        <v>203</v>
      </c>
      <c r="E48" s="8" t="s">
        <v>204</v>
      </c>
      <c r="F48" s="10" t="s">
        <v>43</v>
      </c>
      <c r="G48" s="8"/>
      <c r="H48" s="7"/>
      <c r="I48" s="7"/>
      <c r="J48" s="8"/>
    </row>
    <row r="49" customFormat="false" ht="42" hidden="false" customHeight="true" outlineLevel="0" collapsed="false">
      <c r="A49" s="7" t="s">
        <v>205</v>
      </c>
      <c r="B49" s="7" t="s">
        <v>189</v>
      </c>
      <c r="C49" s="8" t="s">
        <v>206</v>
      </c>
      <c r="D49" s="8" t="s">
        <v>207</v>
      </c>
      <c r="E49" s="8" t="s">
        <v>208</v>
      </c>
      <c r="F49" s="11" t="s">
        <v>60</v>
      </c>
      <c r="G49" s="8"/>
      <c r="H49" s="7"/>
      <c r="I49" s="7"/>
      <c r="J49" s="8"/>
    </row>
    <row r="50" customFormat="false" ht="21.75" hidden="false" customHeight="true" outlineLevel="0" collapsed="false">
      <c r="A50" s="6" t="s">
        <v>209</v>
      </c>
      <c r="B50" s="6"/>
      <c r="C50" s="6"/>
      <c r="D50" s="6"/>
      <c r="E50" s="6"/>
      <c r="F50" s="6"/>
      <c r="G50" s="6"/>
      <c r="H50" s="6"/>
      <c r="I50" s="6"/>
      <c r="J50" s="6"/>
    </row>
    <row r="51" customFormat="false" ht="42" hidden="false" customHeight="true" outlineLevel="0" collapsed="false">
      <c r="A51" s="7" t="s">
        <v>210</v>
      </c>
      <c r="B51" s="7" t="s">
        <v>211</v>
      </c>
      <c r="C51" s="8" t="s">
        <v>212</v>
      </c>
      <c r="D51" s="8" t="s">
        <v>213</v>
      </c>
      <c r="E51" s="8" t="s">
        <v>214</v>
      </c>
      <c r="F51" s="9" t="s">
        <v>34</v>
      </c>
      <c r="G51" s="8"/>
      <c r="H51" s="7"/>
      <c r="I51" s="7"/>
      <c r="J51" s="8"/>
    </row>
    <row r="52" customFormat="false" ht="42" hidden="false" customHeight="true" outlineLevel="0" collapsed="false">
      <c r="A52" s="7" t="s">
        <v>215</v>
      </c>
      <c r="B52" s="7" t="s">
        <v>211</v>
      </c>
      <c r="C52" s="8" t="s">
        <v>216</v>
      </c>
      <c r="D52" s="8" t="s">
        <v>217</v>
      </c>
      <c r="E52" s="8" t="s">
        <v>218</v>
      </c>
      <c r="F52" s="9" t="s">
        <v>34</v>
      </c>
      <c r="G52" s="8"/>
      <c r="H52" s="7"/>
      <c r="I52" s="7"/>
      <c r="J52" s="8"/>
    </row>
    <row r="53" customFormat="false" ht="42" hidden="false" customHeight="true" outlineLevel="0" collapsed="false">
      <c r="A53" s="7" t="s">
        <v>219</v>
      </c>
      <c r="B53" s="7" t="s">
        <v>211</v>
      </c>
      <c r="C53" s="8" t="s">
        <v>220</v>
      </c>
      <c r="D53" s="8" t="s">
        <v>221</v>
      </c>
      <c r="E53" s="8" t="s">
        <v>222</v>
      </c>
      <c r="F53" s="11" t="s">
        <v>60</v>
      </c>
      <c r="G53" s="8"/>
      <c r="H53" s="7"/>
      <c r="I53" s="7"/>
      <c r="J53" s="8"/>
    </row>
    <row r="54" customFormat="false" ht="42" hidden="false" customHeight="true" outlineLevel="0" collapsed="false">
      <c r="A54" s="7" t="s">
        <v>223</v>
      </c>
      <c r="B54" s="7" t="s">
        <v>211</v>
      </c>
      <c r="C54" s="8" t="s">
        <v>224</v>
      </c>
      <c r="D54" s="8" t="s">
        <v>225</v>
      </c>
      <c r="E54" s="8" t="s">
        <v>226</v>
      </c>
      <c r="F54" s="11" t="s">
        <v>60</v>
      </c>
      <c r="G54" s="8"/>
      <c r="H54" s="7"/>
      <c r="I54" s="7"/>
      <c r="J54" s="8"/>
    </row>
    <row r="55" customFormat="false" ht="21.75" hidden="false" customHeight="true" outlineLevel="0" collapsed="false">
      <c r="A55" s="6" t="s">
        <v>227</v>
      </c>
      <c r="B55" s="6"/>
      <c r="C55" s="6"/>
      <c r="D55" s="6"/>
      <c r="E55" s="6"/>
      <c r="F55" s="6"/>
      <c r="G55" s="6"/>
      <c r="H55" s="6"/>
      <c r="I55" s="6"/>
      <c r="J55" s="6"/>
    </row>
    <row r="56" customFormat="false" ht="42" hidden="false" customHeight="true" outlineLevel="0" collapsed="false">
      <c r="A56" s="7" t="s">
        <v>228</v>
      </c>
      <c r="B56" s="7" t="s">
        <v>229</v>
      </c>
      <c r="C56" s="8" t="s">
        <v>230</v>
      </c>
      <c r="D56" s="8" t="s">
        <v>231</v>
      </c>
      <c r="E56" s="8" t="s">
        <v>232</v>
      </c>
      <c r="F56" s="9" t="s">
        <v>34</v>
      </c>
      <c r="G56" s="8"/>
      <c r="H56" s="7"/>
      <c r="I56" s="7"/>
      <c r="J56" s="8"/>
    </row>
    <row r="57" customFormat="false" ht="42" hidden="false" customHeight="true" outlineLevel="0" collapsed="false">
      <c r="A57" s="7" t="s">
        <v>233</v>
      </c>
      <c r="B57" s="7" t="s">
        <v>229</v>
      </c>
      <c r="C57" s="8" t="s">
        <v>234</v>
      </c>
      <c r="D57" s="8" t="s">
        <v>235</v>
      </c>
      <c r="E57" s="8" t="s">
        <v>236</v>
      </c>
      <c r="F57" s="9" t="s">
        <v>34</v>
      </c>
      <c r="G57" s="8"/>
      <c r="H57" s="7"/>
      <c r="I57" s="7"/>
      <c r="J57" s="8"/>
    </row>
    <row r="58" customFormat="false" ht="42" hidden="false" customHeight="true" outlineLevel="0" collapsed="false">
      <c r="A58" s="7" t="s">
        <v>237</v>
      </c>
      <c r="B58" s="7" t="s">
        <v>229</v>
      </c>
      <c r="C58" s="8" t="s">
        <v>238</v>
      </c>
      <c r="D58" s="8" t="s">
        <v>239</v>
      </c>
      <c r="E58" s="8" t="s">
        <v>240</v>
      </c>
      <c r="F58" s="10" t="s">
        <v>43</v>
      </c>
      <c r="G58" s="8"/>
      <c r="H58" s="7"/>
      <c r="I58" s="7"/>
      <c r="J58" s="8"/>
    </row>
    <row r="59" customFormat="false" ht="42" hidden="false" customHeight="true" outlineLevel="0" collapsed="false">
      <c r="A59" s="7" t="s">
        <v>241</v>
      </c>
      <c r="B59" s="7" t="s">
        <v>229</v>
      </c>
      <c r="C59" s="8" t="s">
        <v>242</v>
      </c>
      <c r="D59" s="8" t="s">
        <v>243</v>
      </c>
      <c r="E59" s="8" t="s">
        <v>244</v>
      </c>
      <c r="F59" s="9" t="s">
        <v>34</v>
      </c>
      <c r="G59" s="8"/>
      <c r="H59" s="7"/>
      <c r="I59" s="7"/>
      <c r="J59" s="8"/>
    </row>
    <row r="60" customFormat="false" ht="21.75" hidden="false" customHeight="true" outlineLevel="0" collapsed="false">
      <c r="A60" s="6" t="s">
        <v>245</v>
      </c>
      <c r="B60" s="6"/>
      <c r="C60" s="6"/>
      <c r="D60" s="6"/>
      <c r="E60" s="6"/>
      <c r="F60" s="6"/>
      <c r="G60" s="6"/>
      <c r="H60" s="6"/>
      <c r="I60" s="6"/>
      <c r="J60" s="6"/>
    </row>
    <row r="61" customFormat="false" ht="42" hidden="false" customHeight="true" outlineLevel="0" collapsed="false">
      <c r="A61" s="7" t="s">
        <v>246</v>
      </c>
      <c r="B61" s="7" t="s">
        <v>247</v>
      </c>
      <c r="C61" s="8" t="s">
        <v>248</v>
      </c>
      <c r="D61" s="8" t="s">
        <v>249</v>
      </c>
      <c r="E61" s="8" t="s">
        <v>250</v>
      </c>
      <c r="F61" s="9" t="s">
        <v>34</v>
      </c>
      <c r="G61" s="8"/>
      <c r="H61" s="7"/>
      <c r="I61" s="7"/>
      <c r="J61" s="8"/>
    </row>
    <row r="62" customFormat="false" ht="42" hidden="false" customHeight="true" outlineLevel="0" collapsed="false">
      <c r="A62" s="7" t="s">
        <v>251</v>
      </c>
      <c r="B62" s="7" t="s">
        <v>247</v>
      </c>
      <c r="C62" s="8" t="s">
        <v>252</v>
      </c>
      <c r="D62" s="8" t="s">
        <v>253</v>
      </c>
      <c r="E62" s="8" t="s">
        <v>254</v>
      </c>
      <c r="F62" s="10" t="s">
        <v>43</v>
      </c>
      <c r="G62" s="8"/>
      <c r="H62" s="7"/>
      <c r="I62" s="7"/>
      <c r="J62" s="8"/>
    </row>
    <row r="63" customFormat="false" ht="42" hidden="false" customHeight="true" outlineLevel="0" collapsed="false">
      <c r="A63" s="7" t="s">
        <v>255</v>
      </c>
      <c r="B63" s="7" t="s">
        <v>247</v>
      </c>
      <c r="C63" s="8" t="s">
        <v>256</v>
      </c>
      <c r="D63" s="8" t="s">
        <v>257</v>
      </c>
      <c r="E63" s="8" t="s">
        <v>258</v>
      </c>
      <c r="F63" s="10" t="s">
        <v>43</v>
      </c>
      <c r="G63" s="8"/>
      <c r="H63" s="7"/>
      <c r="I63" s="7"/>
      <c r="J63" s="8"/>
    </row>
    <row r="64" customFormat="false" ht="42" hidden="false" customHeight="true" outlineLevel="0" collapsed="false">
      <c r="A64" s="7" t="s">
        <v>259</v>
      </c>
      <c r="B64" s="7" t="s">
        <v>247</v>
      </c>
      <c r="C64" s="8" t="s">
        <v>260</v>
      </c>
      <c r="D64" s="8" t="s">
        <v>261</v>
      </c>
      <c r="E64" s="8" t="s">
        <v>262</v>
      </c>
      <c r="F64" s="10" t="s">
        <v>43</v>
      </c>
      <c r="G64" s="8"/>
      <c r="H64" s="7"/>
      <c r="I64" s="7"/>
      <c r="J64" s="8"/>
    </row>
    <row r="65" customFormat="false" ht="42" hidden="false" customHeight="true" outlineLevel="0" collapsed="false">
      <c r="A65" s="7" t="s">
        <v>263</v>
      </c>
      <c r="B65" s="7" t="s">
        <v>247</v>
      </c>
      <c r="C65" s="8" t="s">
        <v>264</v>
      </c>
      <c r="D65" s="8" t="s">
        <v>265</v>
      </c>
      <c r="E65" s="8" t="s">
        <v>266</v>
      </c>
      <c r="F65" s="11" t="s">
        <v>60</v>
      </c>
      <c r="G65" s="8"/>
      <c r="H65" s="7"/>
      <c r="I65" s="7"/>
      <c r="J65" s="8"/>
    </row>
    <row r="66" customFormat="false" ht="21.75" hidden="false" customHeight="true" outlineLevel="0" collapsed="false">
      <c r="A66" s="6" t="s">
        <v>267</v>
      </c>
      <c r="B66" s="6"/>
      <c r="C66" s="6"/>
      <c r="D66" s="6"/>
      <c r="E66" s="6"/>
      <c r="F66" s="6"/>
      <c r="G66" s="6"/>
      <c r="H66" s="6"/>
      <c r="I66" s="6"/>
      <c r="J66" s="6"/>
    </row>
    <row r="67" customFormat="false" ht="42" hidden="false" customHeight="true" outlineLevel="0" collapsed="false">
      <c r="A67" s="7" t="s">
        <v>268</v>
      </c>
      <c r="B67" s="7" t="s">
        <v>269</v>
      </c>
      <c r="C67" s="8" t="s">
        <v>270</v>
      </c>
      <c r="D67" s="8" t="s">
        <v>271</v>
      </c>
      <c r="E67" s="8" t="s">
        <v>272</v>
      </c>
      <c r="F67" s="9" t="s">
        <v>34</v>
      </c>
      <c r="G67" s="8"/>
      <c r="H67" s="7"/>
      <c r="I67" s="7"/>
      <c r="J67" s="8"/>
    </row>
    <row r="68" customFormat="false" ht="42" hidden="false" customHeight="true" outlineLevel="0" collapsed="false">
      <c r="A68" s="7" t="s">
        <v>273</v>
      </c>
      <c r="B68" s="7" t="s">
        <v>269</v>
      </c>
      <c r="C68" s="8" t="s">
        <v>274</v>
      </c>
      <c r="D68" s="8" t="s">
        <v>275</v>
      </c>
      <c r="E68" s="8" t="s">
        <v>276</v>
      </c>
      <c r="F68" s="10" t="s">
        <v>43</v>
      </c>
      <c r="G68" s="8"/>
      <c r="H68" s="7"/>
      <c r="I68" s="7"/>
      <c r="J68" s="8"/>
    </row>
    <row r="69" customFormat="false" ht="42" hidden="false" customHeight="true" outlineLevel="0" collapsed="false">
      <c r="A69" s="7" t="s">
        <v>277</v>
      </c>
      <c r="B69" s="7" t="s">
        <v>269</v>
      </c>
      <c r="C69" s="8" t="s">
        <v>278</v>
      </c>
      <c r="D69" s="8" t="s">
        <v>279</v>
      </c>
      <c r="E69" s="8" t="s">
        <v>280</v>
      </c>
      <c r="F69" s="9" t="s">
        <v>34</v>
      </c>
      <c r="G69" s="8"/>
      <c r="H69" s="7"/>
      <c r="I69" s="7"/>
      <c r="J69" s="8"/>
    </row>
    <row r="70" customFormat="false" ht="42" hidden="false" customHeight="true" outlineLevel="0" collapsed="false">
      <c r="A70" s="7" t="s">
        <v>281</v>
      </c>
      <c r="B70" s="7" t="s">
        <v>269</v>
      </c>
      <c r="C70" s="8" t="s">
        <v>282</v>
      </c>
      <c r="D70" s="8" t="s">
        <v>283</v>
      </c>
      <c r="E70" s="8" t="s">
        <v>284</v>
      </c>
      <c r="F70" s="11" t="s">
        <v>60</v>
      </c>
      <c r="G70" s="8"/>
      <c r="H70" s="7"/>
      <c r="I70" s="7"/>
      <c r="J70" s="8"/>
    </row>
    <row r="71" customFormat="false" ht="42" hidden="false" customHeight="true" outlineLevel="0" collapsed="false">
      <c r="A71" s="7" t="s">
        <v>285</v>
      </c>
      <c r="B71" s="7" t="s">
        <v>269</v>
      </c>
      <c r="C71" s="8" t="s">
        <v>286</v>
      </c>
      <c r="D71" s="8" t="s">
        <v>287</v>
      </c>
      <c r="E71" s="8" t="s">
        <v>288</v>
      </c>
      <c r="F71" s="10" t="s">
        <v>43</v>
      </c>
      <c r="G71" s="8"/>
      <c r="H71" s="7"/>
      <c r="I71" s="7"/>
      <c r="J71" s="8"/>
    </row>
    <row r="72" customFormat="false" ht="21.75" hidden="false" customHeight="true" outlineLevel="0" collapsed="false">
      <c r="A72" s="6" t="s">
        <v>289</v>
      </c>
      <c r="B72" s="6"/>
      <c r="C72" s="6"/>
      <c r="D72" s="6"/>
      <c r="E72" s="6"/>
      <c r="F72" s="6"/>
      <c r="G72" s="6"/>
      <c r="H72" s="6"/>
      <c r="I72" s="6"/>
      <c r="J72" s="6"/>
    </row>
    <row r="73" customFormat="false" ht="42" hidden="false" customHeight="true" outlineLevel="0" collapsed="false">
      <c r="A73" s="7" t="s">
        <v>290</v>
      </c>
      <c r="B73" s="7" t="s">
        <v>291</v>
      </c>
      <c r="C73" s="8" t="s">
        <v>292</v>
      </c>
      <c r="D73" s="8" t="s">
        <v>293</v>
      </c>
      <c r="E73" s="8" t="s">
        <v>294</v>
      </c>
      <c r="F73" s="9" t="s">
        <v>34</v>
      </c>
      <c r="G73" s="8"/>
      <c r="H73" s="7"/>
      <c r="I73" s="7"/>
      <c r="J73" s="8"/>
    </row>
    <row r="74" customFormat="false" ht="42" hidden="false" customHeight="true" outlineLevel="0" collapsed="false">
      <c r="A74" s="7" t="s">
        <v>295</v>
      </c>
      <c r="B74" s="7" t="s">
        <v>291</v>
      </c>
      <c r="C74" s="8" t="s">
        <v>296</v>
      </c>
      <c r="D74" s="8" t="s">
        <v>297</v>
      </c>
      <c r="E74" s="8" t="s">
        <v>298</v>
      </c>
      <c r="F74" s="9" t="s">
        <v>34</v>
      </c>
      <c r="G74" s="8"/>
      <c r="H74" s="7"/>
      <c r="I74" s="7"/>
      <c r="J74" s="8"/>
    </row>
    <row r="75" customFormat="false" ht="42" hidden="false" customHeight="true" outlineLevel="0" collapsed="false">
      <c r="A75" s="7" t="s">
        <v>299</v>
      </c>
      <c r="B75" s="7" t="s">
        <v>291</v>
      </c>
      <c r="C75" s="8" t="s">
        <v>300</v>
      </c>
      <c r="D75" s="8" t="s">
        <v>301</v>
      </c>
      <c r="E75" s="8" t="s">
        <v>302</v>
      </c>
      <c r="F75" s="11" t="s">
        <v>60</v>
      </c>
      <c r="G75" s="8"/>
      <c r="H75" s="7"/>
      <c r="I75" s="7"/>
      <c r="J75" s="8"/>
    </row>
    <row r="76" customFormat="false" ht="42" hidden="false" customHeight="true" outlineLevel="0" collapsed="false">
      <c r="A76" s="7" t="s">
        <v>303</v>
      </c>
      <c r="B76" s="7" t="s">
        <v>291</v>
      </c>
      <c r="C76" s="8" t="s">
        <v>304</v>
      </c>
      <c r="D76" s="8" t="s">
        <v>305</v>
      </c>
      <c r="E76" s="8" t="s">
        <v>306</v>
      </c>
      <c r="F76" s="11" t="s">
        <v>60</v>
      </c>
      <c r="G76" s="8"/>
      <c r="H76" s="7"/>
      <c r="I76" s="7"/>
      <c r="J76" s="8"/>
    </row>
    <row r="77" customFormat="false" ht="42" hidden="false" customHeight="true" outlineLevel="0" collapsed="false">
      <c r="A77" s="7" t="s">
        <v>307</v>
      </c>
      <c r="B77" s="7" t="s">
        <v>291</v>
      </c>
      <c r="C77" s="8" t="s">
        <v>308</v>
      </c>
      <c r="D77" s="8" t="s">
        <v>309</v>
      </c>
      <c r="E77" s="8" t="s">
        <v>310</v>
      </c>
      <c r="F77" s="11" t="s">
        <v>60</v>
      </c>
      <c r="G77" s="8"/>
      <c r="H77" s="7"/>
      <c r="I77" s="7"/>
      <c r="J77" s="8"/>
    </row>
  </sheetData>
  <mergeCells count="12">
    <mergeCell ref="A2:J2"/>
    <mergeCell ref="A10:J10"/>
    <mergeCell ref="A18:J18"/>
    <mergeCell ref="A26:J26"/>
    <mergeCell ref="A31:J31"/>
    <mergeCell ref="A38:J38"/>
    <mergeCell ref="A44:J44"/>
    <mergeCell ref="A50:J50"/>
    <mergeCell ref="A55:J55"/>
    <mergeCell ref="A60:J60"/>
    <mergeCell ref="A66:J66"/>
    <mergeCell ref="A72:J72"/>
  </mergeCells>
  <dataValidations count="2">
    <dataValidation allowBlank="true" errorStyle="stop" operator="between" showDropDown="false" showErrorMessage="false" showInputMessage="false" sqref="H2:H77" type="list">
      <formula1>"Pass,Fail,Blocked,รอทดสอบ"</formula1>
      <formula2>0</formula2>
    </dataValidation>
    <dataValidation allowBlank="true" errorStyle="stop" operator="between" showDropDown="false" showErrorMessage="false" showInputMessage="false" sqref="F2:F77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311</v>
      </c>
    </row>
    <row r="3" customFormat="false" ht="15" hidden="false" customHeight="false" outlineLevel="0" collapsed="false">
      <c r="A3" s="12" t="s">
        <v>312</v>
      </c>
      <c r="B3" s="13" t="n">
        <f aca="false">COUNT(Checklist!A2:A77)</f>
        <v>0</v>
      </c>
    </row>
    <row r="4" customFormat="false" ht="15" hidden="false" customHeight="false" outlineLevel="0" collapsed="false">
      <c r="A4" s="14" t="s">
        <v>313</v>
      </c>
      <c r="B4" s="13" t="n">
        <f aca="false">COUNTIF(Checklist!H2:H77,"Pass")</f>
        <v>0</v>
      </c>
    </row>
    <row r="5" customFormat="false" ht="15" hidden="false" customHeight="false" outlineLevel="0" collapsed="false">
      <c r="A5" s="12" t="s">
        <v>314</v>
      </c>
      <c r="B5" s="13" t="n">
        <f aca="false">COUNTIF(Checklist!H2:H77,"Fail")</f>
        <v>0</v>
      </c>
    </row>
    <row r="6" customFormat="false" ht="15" hidden="false" customHeight="false" outlineLevel="0" collapsed="false">
      <c r="A6" s="14" t="s">
        <v>315</v>
      </c>
      <c r="B6" s="13" t="n">
        <f aca="false">COUNTIF(Checklist!H2:H77,"Blocked")</f>
        <v>0</v>
      </c>
    </row>
    <row r="7" customFormat="false" ht="15" hidden="false" customHeight="false" outlineLevel="0" collapsed="false">
      <c r="A7" s="12" t="s">
        <v>316</v>
      </c>
      <c r="B7" s="13" t="n">
        <f aca="false">B3-B4-B5-B6</f>
        <v>0</v>
      </c>
    </row>
    <row r="8" customFormat="false" ht="15" hidden="false" customHeight="false" outlineLevel="0" collapsed="false">
      <c r="A8" s="14" t="s">
        <v>317</v>
      </c>
      <c r="B8" s="15" t="n">
        <f aca="false">IF(B3=0,0,(B4)/B3)</f>
        <v>0</v>
      </c>
    </row>
    <row r="9" customFormat="false" ht="15" hidden="false" customHeight="false" outlineLevel="0" collapsed="false">
      <c r="A9" s="12"/>
      <c r="B9" s="13"/>
    </row>
    <row r="10" customFormat="false" ht="15" hidden="false" customHeight="false" outlineLevel="0" collapsed="false">
      <c r="A10" s="16" t="s">
        <v>318</v>
      </c>
      <c r="B10" s="17" t="n">
        <f aca="false">COUNTIFS(Checklist!F2:F77,"Critical",Checklist!H2:H77,"Fail")+COUNTIFS(Checklist!F2:F77,"Critical",Checklist!H2:H77,"Blocked")</f>
        <v>0</v>
      </c>
    </row>
    <row r="12" customFormat="false" ht="15" hidden="false" customHeight="false" outlineLevel="0" collapsed="false">
      <c r="A12" s="18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2026-06-26T07:21:08Z</dcterms:created>
  <dc:creator>openpyxl</dc:creator>
  <dc:description/>
  <dc:language>en-US</dc:language>
  <cp:lastModifiedBy/>
  <dcterms:modified xsi:type="dcterms:W3CDTF">2026-06-26T07:21:08Z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